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processed/"/>
    </mc:Choice>
  </mc:AlternateContent>
  <xr:revisionPtr revIDLastSave="0" documentId="13_ncr:9_{AEA015B3-7D32-8046-9CC5-FB8AFBA0D986}" xr6:coauthVersionLast="47" xr6:coauthVersionMax="47" xr10:uidLastSave="{00000000-0000-0000-0000-000000000000}"/>
  <bookViews>
    <workbookView xWindow="0" yWindow="660" windowWidth="29400" windowHeight="16940" activeTab="1" xr2:uid="{2C9D089D-B9D6-B848-86F6-BBA1B6FDB199}"/>
  </bookViews>
  <sheets>
    <sheet name="summary" sheetId="2" r:id="rId1"/>
    <sheet name="fmcsa_carrier_compliance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<sst xmlns="http://schemas.openxmlformats.org/spreadsheetml/2006/main" count="181" uniqueCount="70">
  <si>
    <t>carrier_name</t>
  </si>
  <si>
    <t>dot_number</t>
  </si>
  <si>
    <t>safety_rating</t>
  </si>
  <si>
    <t>insurance_status</t>
  </si>
  <si>
    <t>total_inspections</t>
  </si>
  <si>
    <t>out_of_service_pct</t>
  </si>
  <si>
    <t>last_inspection_date</t>
  </si>
  <si>
    <t>Webbfort Express LLC</t>
  </si>
  <si>
    <t>Satisfactory</t>
  </si>
  <si>
    <t>Lapsed</t>
  </si>
  <si>
    <t>Morenoberg Carriers LLC</t>
  </si>
  <si>
    <t>Active</t>
  </si>
  <si>
    <t>New Sally Haulage LLC</t>
  </si>
  <si>
    <t>Timothytown Logistics LLC</t>
  </si>
  <si>
    <t>Lake Kathryn Express LLC</t>
  </si>
  <si>
    <t>Unsatisfactory</t>
  </si>
  <si>
    <t>Moorechester Logistics LLC</t>
  </si>
  <si>
    <t>Lake Matthewfurt Carriers LLC</t>
  </si>
  <si>
    <t>Conditional</t>
  </si>
  <si>
    <t>Port Tracyhaven Transport LLC</t>
  </si>
  <si>
    <t>Richardville Transport LLC</t>
  </si>
  <si>
    <t>Danatown Haulage LLC</t>
  </si>
  <si>
    <t>Lydiaton Haulage LLC</t>
  </si>
  <si>
    <t>Douglasville Express LLC</t>
  </si>
  <si>
    <t>Port Michealhaven Logistics LLC</t>
  </si>
  <si>
    <t>Victoriamouth Haulage LLC</t>
  </si>
  <si>
    <t>New Sean Freight LLC</t>
  </si>
  <si>
    <t>Sheriton Express LLC</t>
  </si>
  <si>
    <t>Joshuaburgh Transport LLC</t>
  </si>
  <si>
    <t>East Brendanland Haulage LLC</t>
  </si>
  <si>
    <t>West Lisatown Express LLC</t>
  </si>
  <si>
    <t>North Paul Haulage LLC</t>
  </si>
  <si>
    <t>Johntown Express LLC</t>
  </si>
  <si>
    <t>Mckeeville Logistics LLC</t>
  </si>
  <si>
    <t>Garciafurt Freight LLC</t>
  </si>
  <si>
    <t>Richardsonhaven Transport LLC</t>
  </si>
  <si>
    <t>East Jennaburgh Haulage LLC</t>
  </si>
  <si>
    <t>Lake Jeremiahland Carriers LLC</t>
  </si>
  <si>
    <t>Erictown Haulage LLC</t>
  </si>
  <si>
    <t>Jenniferport Express LLC</t>
  </si>
  <si>
    <t>North Wesleybury Haulage LLC</t>
  </si>
  <si>
    <t>North Katherinefort Freight LLC</t>
  </si>
  <si>
    <t>New Kelly Express LLC</t>
  </si>
  <si>
    <t>Mendozaton Haulage LLC</t>
  </si>
  <si>
    <t>New Jonathan Haulage LLC</t>
  </si>
  <si>
    <t>Port Pamelaville Transport LLC</t>
  </si>
  <si>
    <t>East Rebecca Logistics LLC</t>
  </si>
  <si>
    <t>Andrewland Carriers LLC</t>
  </si>
  <si>
    <t>Campbellview Express LLC</t>
  </si>
  <si>
    <t>Reneeview Logistics LLC</t>
  </si>
  <si>
    <t>East Christopherburgh Haulage LLC</t>
  </si>
  <si>
    <t>Weissburgh Transport LLC</t>
  </si>
  <si>
    <t>Hallshire Haulage LLC</t>
  </si>
  <si>
    <t>Jenniferberg Logistics LLC</t>
  </si>
  <si>
    <t>Dawnville Freight LLC</t>
  </si>
  <si>
    <t>East Ronald Logistics LLC</t>
  </si>
  <si>
    <t>Scottbury Transport LLC</t>
  </si>
  <si>
    <t>East Christopher Logistics LLC</t>
  </si>
  <si>
    <t>Martinton Haulage LLC</t>
  </si>
  <si>
    <t>Cantuport Freight LLC</t>
  </si>
  <si>
    <t>South Jamie Express LLC</t>
  </si>
  <si>
    <t>Thompsonberg Haulage LLC</t>
  </si>
  <si>
    <t>days_since_inspection</t>
  </si>
  <si>
    <t>Grand Total</t>
  </si>
  <si>
    <t>Count of safety_rating</t>
  </si>
  <si>
    <t>Insurance Status</t>
  </si>
  <si>
    <t>Average of Out of Service %</t>
  </si>
  <si>
    <t>Carriers</t>
  </si>
  <si>
    <t>Total days since inspection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</si>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</sst>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" fontId="0" fillId="0" borderId="0" xfId="0" applyNumberFormat="1"/>
    <xf numFmtId="1" fontId="0" fillId="0" borderId="10" xfId="0" applyNumberFormat="1" applyBorder="1"/>
    <xf numFmtId="0" fontId="0" fillId="0" borderId="10" xfId="0" pivotButton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6" fillId="0" borderId="10" xfId="0" pivotButton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numFmt numFmtId="164" formatCode="_(* #,##0_);_(* \(#,##0\);_(* &quot;-&quot;??_);_(@_)"/>
    </dxf>
    <dxf>
      <font>
        <b/>
      </font>
    </dxf>
    <dxf>
      <font>
        <b/>
      </font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[fmcsa_carrier_compliance.xlsx]summary!PivotTable1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 Status - Safety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3-554E-B12D-8D461B259F1E}"/>
            </c:ext>
          </c:extLst>
        </c:ser>
        <c:ser>
          <c:idx val="1"/>
          <c:order val="1"/>
          <c:tx>
            <c:strRef>
              <c:f>summary!$C$3:$C$4</c:f>
              <c:strCache>
                <c:ptCount val="1"/>
                <c:pt idx="0">
                  <c:v>Lapsed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C3-554E-B12D-8D461B259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782912"/>
        <c:axId val="702784256"/>
      </c:barChart>
      <c:catAx>
        <c:axId val="7027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84256"/>
        <c:crosses val="autoZero"/>
        <c:auto val="1"/>
        <c:lblAlgn val="ctr"/>
        <c:lblOffset val="100"/>
        <c:noMultiLvlLbl val="0"/>
      </c:catAx>
      <c:valAx>
        <c:axId val="70278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82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[fmcsa_carrier_compliance.xlsx]summary!PivotTable2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Safety</a:t>
            </a:r>
            <a:r>
              <a:rPr lang="en-GB" baseline="0"/>
              <a:t> Rating - Average Out of Service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1"/>
                <c:pt idx="0">
                  <c:v>Unsatisfactory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summary!$B$11</c:f>
              <c:numCache>
                <c:formatCode>0.00</c:formatCode>
                <c:ptCount val="1"/>
                <c:pt idx="0">
                  <c:v>33.340000000000003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FB4C-A732-D93622FF0A93}"/>
            </c:ext>
          </c:extLst>
        </c:ser>
        <c:ser>
          <c:idx val="1"/>
          <c:order val="1"/>
          <c:tx>
            <c:strRef>
              <c:f>summary!$C$9:$C$10</c:f>
              <c:strCache>
                <c:ptCount val="1"/>
                <c:pt idx="0">
                  <c:v>Conditional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summary!$C$11</c:f>
              <c:numCache>
                <c:formatCode>0.00</c:formatCode>
                <c:ptCount val="1"/>
                <c:pt idx="0">
                  <c:v>19.25714285714286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0-FB4C-A732-D93622FF0A93}"/>
            </c:ext>
          </c:extLst>
        </c:ser>
        <c:ser>
          <c:idx val="2"/>
          <c:order val="2"/>
          <c:tx>
            <c:strRef>
              <c:f>summary!$D$9:$D$10</c:f>
              <c:strCache>
                <c:ptCount val="1"/>
                <c:pt idx="0">
                  <c:v>Satisfactory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summary!$D$11</c:f>
              <c:numCache>
                <c:formatCode>0.00</c:formatCode>
                <c:ptCount val="1"/>
                <c:pt idx="0">
                  <c:v>7.4419354838709699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90-FB4C-A732-D93622FF0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704576"/>
        <c:axId val="663250112"/>
      </c:barChart>
      <c:catAx>
        <c:axId val="7027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50112"/>
        <c:crosses val="autoZero"/>
        <c:auto val="1"/>
        <c:lblAlgn val="ctr"/>
        <c:lblOffset val="100"/>
        <c:noMultiLvlLbl val="0"/>
      </c:catAx>
      <c:valAx>
        <c:axId val="663250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04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[fmcsa_carrier_compliance.xlsx]summary!PivotTable4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Carriers - Total Days</a:t>
            </a:r>
            <a:r>
              <a:rPr lang="en-US" baseline="0"/>
              <a:t> Since Inspection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summary!$A$18:$A$25</c:f>
              <c:strCache>
                <c:ptCount val="7"/>
                <c:pt idx="0">
                  <c:v>Webbfort Express LLC</c:v>
                </c:pt>
                <c:pt idx="1">
                  <c:v>Port Pamelaville Transport LLC</c:v>
                </c:pt>
                <c:pt idx="2">
                  <c:v>North Paul Haulage LLC</c:v>
                </c:pt>
                <c:pt idx="3">
                  <c:v>Martinton Haulage LLC</c:v>
                </c:pt>
                <c:pt idx="4">
                  <c:v>Garciafurt Freight LLC</c:v>
                </c:pt>
                <c:pt idx="5">
                  <c:v>Weissburgh Transport LLC</c:v>
                </c:pt>
                <c:pt idx="6">
                  <c:v>Erictown Haulage LLC</c:v>
                </c:pt>
              </c:strCache>
            </c:strRef>
          </c:cat>
          <c:val>
            <c:numRef>
              <c:f>summary!$B$18:$B$25</c:f>
              <c:numCache>
                <c:formatCode>_(* #,##0_);_(* \(#,##0\);_(* "-"??_);_(@_)</c:formatCode>
                <c:ptCount val="7"/>
                <c:pt idx="0">
                  <c:v>894</c:v>
                </c:pt>
                <c:pt idx="1">
                  <c:v>827</c:v>
                </c:pt>
                <c:pt idx="2">
                  <c:v>790</c:v>
                </c:pt>
                <c:pt idx="3">
                  <c:v>585</c:v>
                </c:pt>
                <c:pt idx="4">
                  <c:v>433</c:v>
                </c:pt>
                <c:pt idx="5">
                  <c:v>422</c:v>
                </c:pt>
                <c:pt idx="6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3A41-9965-AEDE209B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061504"/>
        <c:axId val="703084096"/>
      </c:barChart>
      <c:catAx>
        <c:axId val="5930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84096"/>
        <c:crosses val="autoZero"/>
        <c:auto val="1"/>
        <c:lblAlgn val="ctr"/>
        <c:lblOffset val="100"/>
        <c:noMultiLvlLbl val="0"/>
      </c:catAx>
      <c:valAx>
        <c:axId val="703084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 Since Inspection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61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0</xdr:row>
      <xdr:rowOff>196850</xdr:rowOff>
    </xdr:from>
    <xdr:to>
      <xdr:col>13</xdr:col>
      <xdr:colOff>508000</xdr:colOff>
      <xdr:row>16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A89CD-0427-8E5F-BEF1-F1A1637CE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17</xdr:row>
      <xdr:rowOff>19050</xdr:rowOff>
    </xdr:from>
    <xdr:to>
      <xdr:col>13</xdr:col>
      <xdr:colOff>533400</xdr:colOff>
      <xdr:row>32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792DD-7A0F-4F02-4B14-B7AF495AD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482600</xdr:colOff>
      <xdr:row>33</xdr:row>
      <xdr:rowOff>19050</xdr:rowOff>
    </xdr:from>
    <xdr:to>
      <xdr:col>13</xdr:col>
      <xdr:colOff>558800</xdr:colOff>
      <xdr:row>50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A48F3-BAFA-8FCD-0322-B92E1CAB0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Bhalilkar" refreshedDate="46222.99345347222" createdVersion="8" refreshedVersion="8" minRefreshableVersion="3" recordCount="50" xr:uid="{78A2C643-33F4-3E4B-82D3-FE239A00A0C3}">
  <cacheSource type="worksheet">
    <worksheetSource ref="A1:H51" sheet="fmcsa_carrier_compliance"/>
  </cacheSource>
  <cacheFields count="8">
    <cacheField name="carrier_name" numFmtId="0">
      <sharedItems count="50">
        <s v="Webbfort Express LLC"/>
        <s v="Morenoberg Carriers LLC"/>
        <s v="New Sally Haulage LLC"/>
        <s v="Timothytown Logistics LLC"/>
        <s v="Lake Kathryn Express LLC"/>
        <s v="Moorechester Logistics LLC"/>
        <s v="Lake Matthewfurt Carriers LLC"/>
        <s v="Port Tracyhaven Transport LLC"/>
        <s v="Richardville Transport LLC"/>
        <s v="Danatown Haulage LLC"/>
        <s v="Lydiaton Haulage LLC"/>
        <s v="Douglasville Express LLC"/>
        <s v="Port Michealhaven Logistics LLC"/>
        <s v="Victoriamouth Haulage LLC"/>
        <s v="New Sean Freight LLC"/>
        <s v="Sheriton Express LLC"/>
        <s v="Joshuaburgh Transport LLC"/>
        <s v="East Brendanland Haulage LLC"/>
        <s v="West Lisatown Express LLC"/>
        <s v="North Paul Haulage LLC"/>
        <s v="Johntown Express LLC"/>
        <s v="Mckeeville Logistics LLC"/>
        <s v="Garciafurt Freight LLC"/>
        <s v="Richardsonhaven Transport LLC"/>
        <s v="East Jennaburgh Haulage LLC"/>
        <s v="Lake Jeremiahland Carriers LLC"/>
        <s v="Erictown Haulage LLC"/>
        <s v="Jenniferport Express LLC"/>
        <s v="North Wesleybury Haulage LLC"/>
        <s v="North Katherinefort Freight LLC"/>
        <s v="New Kelly Express LLC"/>
        <s v="Mendozaton Haulage LLC"/>
        <s v="New Jonathan Haulage LLC"/>
        <s v="Port Pamelaville Transport LLC"/>
        <s v="East Rebecca Logistics LLC"/>
        <s v="Andrewland Carriers LLC"/>
        <s v="Campbellview Express LLC"/>
        <s v="Reneeview Logistics LLC"/>
        <s v="East Christopherburgh Haulage LLC"/>
        <s v="Weissburgh Transport LLC"/>
        <s v="Hallshire Haulage LLC"/>
        <s v="Jenniferberg Logistics LLC"/>
        <s v="Dawnville Freight LLC"/>
        <s v="East Ronald Logistics LLC"/>
        <s v="Scottbury Transport LLC"/>
        <s v="East Christopher Logistics LLC"/>
        <s v="Martinton Haulage LLC"/>
        <s v="Cantuport Freight LLC"/>
        <s v="South Jamie Express LLC"/>
        <s v="Thompsonberg Haulage LLC"/>
      </sharedItems>
    </cacheField>
    <cacheField name="dot_number" numFmtId="0">
      <sharedItems containsSemiMixedTypes="0" containsString="0" containsNumber="1" containsInteger="1" minValue="100001" maxValue="100050"/>
    </cacheField>
    <cacheField name="safety_rating" numFmtId="0">
      <sharedItems count="3">
        <s v="Satisfactory"/>
        <s v="Unsatisfactory"/>
        <s v="Conditional"/>
      </sharedItems>
    </cacheField>
    <cacheField name="insurance_status" numFmtId="0">
      <sharedItems count="2">
        <s v="Lapsed"/>
        <s v="Active"/>
      </sharedItems>
    </cacheField>
    <cacheField name="total_inspections" numFmtId="0">
      <sharedItems containsSemiMixedTypes="0" containsString="0" containsNumber="1" containsInteger="1" minValue="39" maxValue="179"/>
    </cacheField>
    <cacheField name="out_of_service_pct" numFmtId="0">
      <sharedItems containsSemiMixedTypes="0" containsString="0" containsNumber="1" minValue="2.2000000000000002" maxValue="40"/>
    </cacheField>
    <cacheField name="last_inspection_date" numFmtId="15">
      <sharedItems containsSemiMixedTypes="0" containsNonDate="0" containsDate="1" containsString="0" minDate="2024-01-04T00:00:00" maxDate="2025-07-13T00:00:00"/>
    </cacheField>
    <cacheField name="days_since_inspection" numFmtId="1">
      <sharedItems containsSemiMixedTypes="0" containsString="0" containsNumber="1" containsInteger="1" minValue="372" maxValue="9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0001"/>
    <x v="0"/>
    <x v="0"/>
    <n v="86"/>
    <n v="7.2"/>
    <d v="2024-02-06T00:00:00"/>
    <n v="894"/>
  </r>
  <r>
    <x v="1"/>
    <n v="100002"/>
    <x v="0"/>
    <x v="1"/>
    <n v="128"/>
    <n v="8.4"/>
    <d v="2025-02-18T00:00:00"/>
    <n v="516"/>
  </r>
  <r>
    <x v="2"/>
    <n v="100003"/>
    <x v="0"/>
    <x v="1"/>
    <n v="46"/>
    <n v="16.100000000000001"/>
    <d v="2024-03-08T00:00:00"/>
    <n v="863"/>
  </r>
  <r>
    <x v="3"/>
    <n v="100004"/>
    <x v="0"/>
    <x v="1"/>
    <n v="71"/>
    <n v="2.9"/>
    <d v="2024-10-07T00:00:00"/>
    <n v="650"/>
  </r>
  <r>
    <x v="4"/>
    <n v="100005"/>
    <x v="1"/>
    <x v="1"/>
    <n v="75"/>
    <n v="40"/>
    <d v="2024-03-29T00:00:00"/>
    <n v="842"/>
  </r>
  <r>
    <x v="5"/>
    <n v="100006"/>
    <x v="0"/>
    <x v="1"/>
    <n v="104"/>
    <n v="5.8"/>
    <d v="2024-08-14T00:00:00"/>
    <n v="704"/>
  </r>
  <r>
    <x v="6"/>
    <n v="100007"/>
    <x v="2"/>
    <x v="1"/>
    <n v="79"/>
    <n v="18.8"/>
    <d v="2024-09-23T00:00:00"/>
    <n v="664"/>
  </r>
  <r>
    <x v="7"/>
    <n v="100008"/>
    <x v="0"/>
    <x v="1"/>
    <n v="144"/>
    <n v="3.5"/>
    <d v="2025-02-10T00:00:00"/>
    <n v="524"/>
  </r>
  <r>
    <x v="8"/>
    <n v="100009"/>
    <x v="2"/>
    <x v="1"/>
    <n v="116"/>
    <n v="20.399999999999999"/>
    <d v="2025-02-22T00:00:00"/>
    <n v="512"/>
  </r>
  <r>
    <x v="9"/>
    <n v="100010"/>
    <x v="0"/>
    <x v="1"/>
    <n v="172"/>
    <n v="3.2"/>
    <d v="2024-02-17T00:00:00"/>
    <n v="883"/>
  </r>
  <r>
    <x v="10"/>
    <n v="100011"/>
    <x v="2"/>
    <x v="1"/>
    <n v="58"/>
    <n v="18"/>
    <d v="2024-07-08T00:00:00"/>
    <n v="741"/>
  </r>
  <r>
    <x v="11"/>
    <n v="100012"/>
    <x v="0"/>
    <x v="1"/>
    <n v="87"/>
    <n v="7.6"/>
    <d v="2024-04-03T00:00:00"/>
    <n v="837"/>
  </r>
  <r>
    <x v="12"/>
    <n v="100013"/>
    <x v="2"/>
    <x v="1"/>
    <n v="75"/>
    <n v="20.2"/>
    <d v="2025-01-09T00:00:00"/>
    <n v="556"/>
  </r>
  <r>
    <x v="13"/>
    <n v="100014"/>
    <x v="2"/>
    <x v="1"/>
    <n v="84"/>
    <n v="15.7"/>
    <d v="2024-09-11T00:00:00"/>
    <n v="676"/>
  </r>
  <r>
    <x v="14"/>
    <n v="100015"/>
    <x v="0"/>
    <x v="1"/>
    <n v="135"/>
    <n v="2.2000000000000002"/>
    <d v="2024-02-15T00:00:00"/>
    <n v="885"/>
  </r>
  <r>
    <x v="15"/>
    <n v="100016"/>
    <x v="0"/>
    <x v="1"/>
    <n v="140"/>
    <n v="9.8000000000000007"/>
    <d v="2025-06-14T00:00:00"/>
    <n v="400"/>
  </r>
  <r>
    <x v="16"/>
    <n v="100017"/>
    <x v="2"/>
    <x v="1"/>
    <n v="48"/>
    <n v="14.8"/>
    <d v="2025-07-04T00:00:00"/>
    <n v="380"/>
  </r>
  <r>
    <x v="17"/>
    <n v="100018"/>
    <x v="0"/>
    <x v="1"/>
    <n v="137"/>
    <n v="11.8"/>
    <d v="2024-09-26T00:00:00"/>
    <n v="661"/>
  </r>
  <r>
    <x v="18"/>
    <n v="100019"/>
    <x v="0"/>
    <x v="1"/>
    <n v="137"/>
    <n v="2.9"/>
    <d v="2024-09-29T00:00:00"/>
    <n v="658"/>
  </r>
  <r>
    <x v="19"/>
    <n v="100020"/>
    <x v="1"/>
    <x v="0"/>
    <n v="46"/>
    <n v="29.4"/>
    <d v="2024-05-20T00:00:00"/>
    <n v="790"/>
  </r>
  <r>
    <x v="20"/>
    <n v="100021"/>
    <x v="0"/>
    <x v="1"/>
    <n v="171"/>
    <n v="6.4"/>
    <d v="2024-04-27T00:00:00"/>
    <n v="813"/>
  </r>
  <r>
    <x v="21"/>
    <n v="100022"/>
    <x v="0"/>
    <x v="1"/>
    <n v="150"/>
    <n v="5.9"/>
    <d v="2025-07-05T00:00:00"/>
    <n v="379"/>
  </r>
  <r>
    <x v="22"/>
    <n v="100023"/>
    <x v="0"/>
    <x v="0"/>
    <n v="171"/>
    <n v="10.8"/>
    <d v="2025-05-12T00:00:00"/>
    <n v="433"/>
  </r>
  <r>
    <x v="23"/>
    <n v="100024"/>
    <x v="2"/>
    <x v="1"/>
    <n v="70"/>
    <n v="15.3"/>
    <d v="2025-04-22T00:00:00"/>
    <n v="453"/>
  </r>
  <r>
    <x v="24"/>
    <n v="100025"/>
    <x v="0"/>
    <x v="1"/>
    <n v="179"/>
    <n v="6.8"/>
    <d v="2025-01-05T00:00:00"/>
    <n v="560"/>
  </r>
  <r>
    <x v="25"/>
    <n v="100026"/>
    <x v="2"/>
    <x v="1"/>
    <n v="67"/>
    <n v="23.4"/>
    <d v="2025-02-05T00:00:00"/>
    <n v="529"/>
  </r>
  <r>
    <x v="26"/>
    <n v="100027"/>
    <x v="1"/>
    <x v="0"/>
    <n v="44"/>
    <n v="38.4"/>
    <d v="2025-07-12T00:00:00"/>
    <n v="372"/>
  </r>
  <r>
    <x v="27"/>
    <n v="100028"/>
    <x v="0"/>
    <x v="1"/>
    <n v="167"/>
    <n v="3.3"/>
    <d v="2025-03-08T00:00:00"/>
    <n v="498"/>
  </r>
  <r>
    <x v="28"/>
    <n v="100029"/>
    <x v="0"/>
    <x v="1"/>
    <n v="79"/>
    <n v="6.3"/>
    <d v="2024-06-16T00:00:00"/>
    <n v="763"/>
  </r>
  <r>
    <x v="29"/>
    <n v="100030"/>
    <x v="2"/>
    <x v="1"/>
    <n v="49"/>
    <n v="22.4"/>
    <d v="2024-01-26T00:00:00"/>
    <n v="905"/>
  </r>
  <r>
    <x v="30"/>
    <n v="100031"/>
    <x v="0"/>
    <x v="1"/>
    <n v="138"/>
    <n v="10.9"/>
    <d v="2025-02-02T00:00:00"/>
    <n v="532"/>
  </r>
  <r>
    <x v="31"/>
    <n v="100032"/>
    <x v="0"/>
    <x v="1"/>
    <n v="92"/>
    <n v="2.2999999999999998"/>
    <d v="2025-03-23T00:00:00"/>
    <n v="483"/>
  </r>
  <r>
    <x v="32"/>
    <n v="100033"/>
    <x v="0"/>
    <x v="1"/>
    <n v="73"/>
    <n v="10.199999999999999"/>
    <d v="2024-01-14T00:00:00"/>
    <n v="917"/>
  </r>
  <r>
    <x v="33"/>
    <n v="100034"/>
    <x v="0"/>
    <x v="0"/>
    <n v="141"/>
    <n v="5.3"/>
    <d v="2024-04-13T00:00:00"/>
    <n v="827"/>
  </r>
  <r>
    <x v="34"/>
    <n v="100035"/>
    <x v="0"/>
    <x v="1"/>
    <n v="122"/>
    <n v="2.5"/>
    <d v="2024-05-24T00:00:00"/>
    <n v="786"/>
  </r>
  <r>
    <x v="35"/>
    <n v="100036"/>
    <x v="0"/>
    <x v="1"/>
    <n v="84"/>
    <n v="10.3"/>
    <d v="2025-04-13T00:00:00"/>
    <n v="462"/>
  </r>
  <r>
    <x v="36"/>
    <n v="100037"/>
    <x v="0"/>
    <x v="1"/>
    <n v="71"/>
    <n v="11.9"/>
    <d v="2025-02-08T00:00:00"/>
    <n v="526"/>
  </r>
  <r>
    <x v="37"/>
    <n v="100038"/>
    <x v="1"/>
    <x v="1"/>
    <n v="39"/>
    <n v="26"/>
    <d v="2024-07-16T00:00:00"/>
    <n v="733"/>
  </r>
  <r>
    <x v="38"/>
    <n v="100039"/>
    <x v="0"/>
    <x v="1"/>
    <n v="140"/>
    <n v="6.5"/>
    <d v="2024-08-06T00:00:00"/>
    <n v="712"/>
  </r>
  <r>
    <x v="39"/>
    <n v="100040"/>
    <x v="0"/>
    <x v="0"/>
    <n v="176"/>
    <n v="10.3"/>
    <d v="2025-05-23T00:00:00"/>
    <n v="422"/>
  </r>
  <r>
    <x v="40"/>
    <n v="100041"/>
    <x v="2"/>
    <x v="1"/>
    <n v="120"/>
    <n v="20.5"/>
    <d v="2024-07-10T00:00:00"/>
    <n v="739"/>
  </r>
  <r>
    <x v="41"/>
    <n v="100042"/>
    <x v="0"/>
    <x v="1"/>
    <n v="119"/>
    <n v="12"/>
    <d v="2024-02-17T00:00:00"/>
    <n v="883"/>
  </r>
  <r>
    <x v="42"/>
    <n v="100043"/>
    <x v="2"/>
    <x v="1"/>
    <n v="72"/>
    <n v="19"/>
    <d v="2024-02-08T00:00:00"/>
    <n v="892"/>
  </r>
  <r>
    <x v="43"/>
    <n v="100044"/>
    <x v="0"/>
    <x v="1"/>
    <n v="84"/>
    <n v="6.4"/>
    <d v="2024-12-03T00:00:00"/>
    <n v="593"/>
  </r>
  <r>
    <x v="44"/>
    <n v="100045"/>
    <x v="1"/>
    <x v="1"/>
    <n v="79"/>
    <n v="32.9"/>
    <d v="2025-01-01T00:00:00"/>
    <n v="564"/>
  </r>
  <r>
    <x v="45"/>
    <n v="100046"/>
    <x v="0"/>
    <x v="1"/>
    <n v="146"/>
    <n v="10.8"/>
    <d v="2024-01-04T00:00:00"/>
    <n v="927"/>
  </r>
  <r>
    <x v="46"/>
    <n v="100047"/>
    <x v="0"/>
    <x v="0"/>
    <n v="127"/>
    <n v="10.4"/>
    <d v="2024-12-11T00:00:00"/>
    <n v="585"/>
  </r>
  <r>
    <x v="47"/>
    <n v="100048"/>
    <x v="2"/>
    <x v="1"/>
    <n v="78"/>
    <n v="15.8"/>
    <d v="2024-08-27T00:00:00"/>
    <n v="691"/>
  </r>
  <r>
    <x v="48"/>
    <n v="100049"/>
    <x v="2"/>
    <x v="1"/>
    <n v="54"/>
    <n v="21.2"/>
    <d v="2025-01-07T00:00:00"/>
    <n v="558"/>
  </r>
  <r>
    <x v="49"/>
    <n v="100050"/>
    <x v="2"/>
    <x v="1"/>
    <n v="61"/>
    <n v="24.1"/>
    <d v="2024-07-12T00:00:00"/>
    <n v="7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91CDD-8434-6E44-AEE5-1BCF2E3B777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rriers">
  <location ref="A17:B25" firstHeaderRow="1" firstDataRow="1" firstDataCol="1" rowPageCount="1" colPageCount="1"/>
  <pivotFields count="8">
    <pivotField axis="axisRow" showAll="0" sortType="descending">
      <items count="51">
        <item x="35"/>
        <item x="36"/>
        <item x="47"/>
        <item x="9"/>
        <item x="42"/>
        <item x="11"/>
        <item x="17"/>
        <item x="45"/>
        <item x="38"/>
        <item x="24"/>
        <item x="34"/>
        <item x="43"/>
        <item x="26"/>
        <item x="22"/>
        <item x="40"/>
        <item x="41"/>
        <item x="27"/>
        <item x="20"/>
        <item x="16"/>
        <item x="25"/>
        <item x="4"/>
        <item x="6"/>
        <item x="10"/>
        <item x="46"/>
        <item x="21"/>
        <item x="31"/>
        <item x="5"/>
        <item x="1"/>
        <item x="32"/>
        <item x="30"/>
        <item x="2"/>
        <item x="14"/>
        <item x="29"/>
        <item x="19"/>
        <item x="28"/>
        <item x="12"/>
        <item x="33"/>
        <item x="7"/>
        <item x="37"/>
        <item x="23"/>
        <item x="8"/>
        <item x="44"/>
        <item x="15"/>
        <item x="48"/>
        <item x="49"/>
        <item x="3"/>
        <item x="13"/>
        <item x="0"/>
        <item x="39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name="Insurance Status" axis="axisPage" multipleItemSelectionAllowed="1" showAll="0">
      <items count="3">
        <item h="1" x="1"/>
        <item x="0"/>
        <item t="default"/>
      </items>
    </pivotField>
    <pivotField showAll="0"/>
    <pivotField showAll="0"/>
    <pivotField numFmtId="15" showAll="0"/>
    <pivotField dataField="1" numFmtId="1" showAll="0"/>
  </pivotFields>
  <rowFields count="1">
    <field x="0"/>
  </rowFields>
  <rowItems count="8">
    <i>
      <x v="47"/>
    </i>
    <i>
      <x v="36"/>
    </i>
    <i>
      <x v="33"/>
    </i>
    <i>
      <x v="23"/>
    </i>
    <i>
      <x v="13"/>
    </i>
    <i>
      <x v="48"/>
    </i>
    <i>
      <x v="12"/>
    </i>
    <i t="grand">
      <x/>
    </i>
  </rowItems>
  <colItems count="1">
    <i/>
  </colItems>
  <pageFields count="1">
    <pageField fld="3" hier="-1"/>
  </pageFields>
  <dataFields count="1">
    <dataField name="Total days since inspection" fld="7" baseField="0" baseItem="0" numFmtId="164"/>
  </dataFields>
  <formats count="23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3" type="button" dataOnly="0" labelOnly="1" outline="0" axis="axisPage" fieldPosition="0"/>
    </format>
    <format dxfId="3">
      <pivotArea field="3" type="button" dataOnly="0" labelOnly="1" outline="0" axis="axisPage" fieldPosition="0"/>
    </format>
    <format dxfId="2">
      <pivotArea field="3" type="button" dataOnly="0" labelOnly="1" outline="0" axis="axisPage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2FE53-BA9D-8C49-8B4F-E99DB1C0B6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afety Rating">
  <location ref="A9:E11" firstHeaderRow="1" firstDataRow="2" firstDataCol="1"/>
  <pivotFields count="8">
    <pivotField showAll="0"/>
    <pivotField showAll="0"/>
    <pivotField axis="axisCol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5" showAll="0"/>
    <pivotField numFmtId="1" showAll="0"/>
  </pivotFields>
  <rowItems count="1">
    <i/>
  </rowItems>
  <colFields count="1">
    <field x="2"/>
  </colFields>
  <colItems count="4">
    <i>
      <x v="2"/>
    </i>
    <i>
      <x/>
    </i>
    <i>
      <x v="1"/>
    </i>
    <i t="grand">
      <x/>
    </i>
  </colItems>
  <dataFields count="1">
    <dataField name="Average of Out of Service %" fld="5" subtotal="average" baseField="0" baseItem="0" numFmtId="2"/>
  </dataFields>
  <formats count="19">
    <format dxfId="41">
      <pivotArea outline="0" collapsedLevelsAreSubtotals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Col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2" type="button" dataOnly="0" labelOnly="1" outline="0" axis="axisCol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Col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99658-8116-2349-A16A-D737DB5E66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Insurance Status">
  <location ref="A3:D5" firstHeaderRow="1" firstDataRow="2" firstDataCol="1"/>
  <pivotFields count="8">
    <pivotField showAll="0">
      <items count="51">
        <item x="35"/>
        <item x="36"/>
        <item x="47"/>
        <item x="9"/>
        <item x="42"/>
        <item x="11"/>
        <item x="17"/>
        <item x="45"/>
        <item x="38"/>
        <item x="24"/>
        <item x="34"/>
        <item x="43"/>
        <item x="26"/>
        <item x="22"/>
        <item x="40"/>
        <item x="41"/>
        <item x="27"/>
        <item x="20"/>
        <item x="16"/>
        <item x="25"/>
        <item x="4"/>
        <item x="6"/>
        <item x="10"/>
        <item x="46"/>
        <item x="21"/>
        <item x="31"/>
        <item x="5"/>
        <item x="1"/>
        <item x="32"/>
        <item x="30"/>
        <item x="2"/>
        <item x="14"/>
        <item x="29"/>
        <item x="19"/>
        <item x="28"/>
        <item x="12"/>
        <item x="33"/>
        <item x="7"/>
        <item x="37"/>
        <item x="23"/>
        <item x="8"/>
        <item x="44"/>
        <item x="15"/>
        <item x="48"/>
        <item x="49"/>
        <item x="3"/>
        <item x="13"/>
        <item x="0"/>
        <item x="39"/>
        <item x="18"/>
        <item t="default"/>
      </items>
    </pivotField>
    <pivotField showAll="0"/>
    <pivotField dataField="1" showAll="0">
      <items count="4">
        <item x="2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15" showAll="0"/>
    <pivotField numFmtId="1" showAll="0"/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Count of safety_rating" fld="2" subtotal="count" baseField="0" baseItem="0"/>
  </dataFields>
  <formats count="18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Col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Col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Col" fieldPosition="0"/>
    </format>
    <format dxfId="44">
      <pivotArea dataOnly="0" labelOnly="1" fieldPosition="0">
        <references count="1">
          <reference field="3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997A-7850-5045-B0A8-1AD5A09AAA35}">
  <dimension ref="A3:E25"/>
  <sheetViews>
    <sheetView workbookViewId="0">
      <selection activeCell="C23" sqref="C23"/>
    </sheetView>
  </sheetViews>
  <sheetFormatPr baseColWidth="10" defaultRowHeight="16" x14ac:dyDescent="0.2"/>
  <cols>
    <col min="1" max="1" width="25.83203125" bestFit="1" customWidth="1"/>
    <col min="2" max="2" width="23.5" bestFit="1" customWidth="1"/>
    <col min="3" max="3" width="10.6640625" bestFit="1" customWidth="1"/>
    <col min="4" max="4" width="11.1640625" bestFit="1" customWidth="1"/>
    <col min="5" max="5" width="10.5" bestFit="1" customWidth="1"/>
  </cols>
  <sheetData>
    <row r="3" spans="1:5" x14ac:dyDescent="0.2">
      <c r="A3" s="1"/>
      <c r="B3" s="6" t="s">
        <v>69</v>
      </c>
      <c r="C3" s="1"/>
      <c r="D3" s="1"/>
    </row>
    <row r="4" spans="1:5" x14ac:dyDescent="0.2">
      <c r="A4" s="1"/>
      <c r="B4" s="1" t="s">
        <v>11</v>
      </c>
      <c r="C4" s="1" t="s">
        <v>9</v>
      </c>
      <c r="D4" s="1" t="s">
        <v>63</v>
      </c>
    </row>
    <row r="5" spans="1:5" x14ac:dyDescent="0.2">
      <c r="A5" s="1" t="s">
        <v>64</v>
      </c>
      <c r="B5" s="1">
        <v>43</v>
      </c>
      <c r="C5" s="1">
        <v>7</v>
      </c>
      <c r="D5" s="1">
        <v>50</v>
      </c>
    </row>
    <row r="9" spans="1:5" x14ac:dyDescent="0.2">
      <c r="A9" s="1"/>
      <c r="B9" s="6" t="s">
        <v>69</v>
      </c>
      <c r="C9" s="1"/>
      <c r="D9" s="1"/>
      <c r="E9" s="1"/>
    </row>
    <row r="10" spans="1:5" x14ac:dyDescent="0.2">
      <c r="A10" s="1"/>
      <c r="B10" s="1" t="s">
        <v>15</v>
      </c>
      <c r="C10" s="1" t="s">
        <v>18</v>
      </c>
      <c r="D10" s="1" t="s">
        <v>8</v>
      </c>
      <c r="E10" s="1" t="s">
        <v>63</v>
      </c>
    </row>
    <row r="11" spans="1:5" x14ac:dyDescent="0.2">
      <c r="A11" s="1" t="s">
        <v>66</v>
      </c>
      <c r="B11" s="7">
        <v>33.340000000000003</v>
      </c>
      <c r="C11" s="7">
        <v>19.25714285714286</v>
      </c>
      <c r="D11" s="7">
        <v>7.4419354838709699</v>
      </c>
      <c r="E11" s="7">
        <v>13.339999999999998</v>
      </c>
    </row>
    <row r="15" spans="1:5" x14ac:dyDescent="0.2">
      <c r="A15" s="9" t="s">
        <v>65</v>
      </c>
      <c r="B15" s="10" t="s">
        <v>9</v>
      </c>
    </row>
    <row r="17" spans="1:2" x14ac:dyDescent="0.2">
      <c r="A17" s="6" t="s">
        <v>67</v>
      </c>
      <c r="B17" s="1" t="s">
        <v>68</v>
      </c>
    </row>
    <row r="18" spans="1:2" x14ac:dyDescent="0.2">
      <c r="A18" s="1" t="s">
        <v>7</v>
      </c>
      <c r="B18" s="8">
        <v>894</v>
      </c>
    </row>
    <row r="19" spans="1:2" x14ac:dyDescent="0.2">
      <c r="A19" s="1" t="s">
        <v>45</v>
      </c>
      <c r="B19" s="8">
        <v>827</v>
      </c>
    </row>
    <row r="20" spans="1:2" x14ac:dyDescent="0.2">
      <c r="A20" s="1" t="s">
        <v>31</v>
      </c>
      <c r="B20" s="8">
        <v>790</v>
      </c>
    </row>
    <row r="21" spans="1:2" x14ac:dyDescent="0.2">
      <c r="A21" s="1" t="s">
        <v>58</v>
      </c>
      <c r="B21" s="8">
        <v>585</v>
      </c>
    </row>
    <row r="22" spans="1:2" x14ac:dyDescent="0.2">
      <c r="A22" s="1" t="s">
        <v>34</v>
      </c>
      <c r="B22" s="8">
        <v>433</v>
      </c>
    </row>
    <row r="23" spans="1:2" x14ac:dyDescent="0.2">
      <c r="A23" s="1" t="s">
        <v>51</v>
      </c>
      <c r="B23" s="8">
        <v>422</v>
      </c>
    </row>
    <row r="24" spans="1:2" x14ac:dyDescent="0.2">
      <c r="A24" s="1" t="s">
        <v>38</v>
      </c>
      <c r="B24" s="8">
        <v>372</v>
      </c>
    </row>
    <row r="25" spans="1:2" x14ac:dyDescent="0.2">
      <c r="A25" s="1" t="s">
        <v>63</v>
      </c>
      <c r="B25" s="8">
        <v>4323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FFEE-CB8E-3045-A333-06A44575C140}">
  <dimension ref="A1:H51"/>
  <sheetViews>
    <sheetView tabSelected="1" workbookViewId="0">
      <selection activeCell="C33" sqref="C33"/>
    </sheetView>
  </sheetViews>
  <sheetFormatPr baseColWidth="10" defaultRowHeight="16" x14ac:dyDescent="0.2"/>
  <cols>
    <col min="1" max="1" width="30" bestFit="1" customWidth="1"/>
    <col min="3" max="3" width="12.83203125" bestFit="1" customWidth="1"/>
    <col min="4" max="4" width="15" bestFit="1" customWidth="1"/>
    <col min="5" max="5" width="15.1640625" bestFit="1" customWidth="1"/>
    <col min="6" max="6" width="16.5" bestFit="1" customWidth="1"/>
    <col min="7" max="7" width="18.1640625" bestFit="1" customWidth="1"/>
    <col min="8" max="8" width="20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62</v>
      </c>
    </row>
    <row r="2" spans="1:8" x14ac:dyDescent="0.2">
      <c r="A2" s="1" t="s">
        <v>7</v>
      </c>
      <c r="B2" s="1">
        <v>100001</v>
      </c>
      <c r="C2" s="1" t="s">
        <v>8</v>
      </c>
      <c r="D2" s="1" t="s">
        <v>9</v>
      </c>
      <c r="E2" s="1">
        <v>86</v>
      </c>
      <c r="F2" s="1">
        <v>7.2</v>
      </c>
      <c r="G2" s="2">
        <v>45328</v>
      </c>
      <c r="H2" s="4">
        <f ca="1">TODAY()-G2</f>
        <v>901</v>
      </c>
    </row>
    <row r="3" spans="1:8" x14ac:dyDescent="0.2">
      <c r="A3" s="1" t="s">
        <v>10</v>
      </c>
      <c r="B3" s="1">
        <v>100002</v>
      </c>
      <c r="C3" s="1" t="s">
        <v>8</v>
      </c>
      <c r="D3" s="1" t="s">
        <v>11</v>
      </c>
      <c r="E3" s="1">
        <v>128</v>
      </c>
      <c r="F3" s="1">
        <v>8.4</v>
      </c>
      <c r="G3" s="2">
        <v>45706</v>
      </c>
      <c r="H3" s="5">
        <f t="shared" ref="H3:H51" ca="1" si="0">TODAY()-G3</f>
        <v>523</v>
      </c>
    </row>
    <row r="4" spans="1:8" x14ac:dyDescent="0.2">
      <c r="A4" s="1" t="s">
        <v>12</v>
      </c>
      <c r="B4" s="1">
        <v>100003</v>
      </c>
      <c r="C4" s="1" t="s">
        <v>8</v>
      </c>
      <c r="D4" s="1" t="s">
        <v>11</v>
      </c>
      <c r="E4" s="1">
        <v>46</v>
      </c>
      <c r="F4" s="1">
        <v>16.100000000000001</v>
      </c>
      <c r="G4" s="2">
        <v>45359</v>
      </c>
      <c r="H4" s="5">
        <f t="shared" ca="1" si="0"/>
        <v>870</v>
      </c>
    </row>
    <row r="5" spans="1:8" x14ac:dyDescent="0.2">
      <c r="A5" s="1" t="s">
        <v>13</v>
      </c>
      <c r="B5" s="1">
        <v>100004</v>
      </c>
      <c r="C5" s="1" t="s">
        <v>8</v>
      </c>
      <c r="D5" s="1" t="s">
        <v>11</v>
      </c>
      <c r="E5" s="1">
        <v>71</v>
      </c>
      <c r="F5" s="1">
        <v>2.9</v>
      </c>
      <c r="G5" s="2">
        <v>45572</v>
      </c>
      <c r="H5" s="5">
        <f t="shared" ca="1" si="0"/>
        <v>657</v>
      </c>
    </row>
    <row r="6" spans="1:8" x14ac:dyDescent="0.2">
      <c r="A6" s="1" t="s">
        <v>14</v>
      </c>
      <c r="B6" s="1">
        <v>100005</v>
      </c>
      <c r="C6" s="1" t="s">
        <v>15</v>
      </c>
      <c r="D6" s="1" t="s">
        <v>11</v>
      </c>
      <c r="E6" s="1">
        <v>75</v>
      </c>
      <c r="F6" s="1">
        <v>40</v>
      </c>
      <c r="G6" s="2">
        <v>45380</v>
      </c>
      <c r="H6" s="5">
        <f t="shared" ca="1" si="0"/>
        <v>849</v>
      </c>
    </row>
    <row r="7" spans="1:8" x14ac:dyDescent="0.2">
      <c r="A7" s="1" t="s">
        <v>16</v>
      </c>
      <c r="B7" s="1">
        <v>100006</v>
      </c>
      <c r="C7" s="1" t="s">
        <v>8</v>
      </c>
      <c r="D7" s="1" t="s">
        <v>11</v>
      </c>
      <c r="E7" s="1">
        <v>104</v>
      </c>
      <c r="F7" s="1">
        <v>5.8</v>
      </c>
      <c r="G7" s="2">
        <v>45518</v>
      </c>
      <c r="H7" s="5">
        <f t="shared" ca="1" si="0"/>
        <v>711</v>
      </c>
    </row>
    <row r="8" spans="1:8" x14ac:dyDescent="0.2">
      <c r="A8" s="1" t="s">
        <v>17</v>
      </c>
      <c r="B8" s="1">
        <v>100007</v>
      </c>
      <c r="C8" s="1" t="s">
        <v>18</v>
      </c>
      <c r="D8" s="1" t="s">
        <v>11</v>
      </c>
      <c r="E8" s="1">
        <v>79</v>
      </c>
      <c r="F8" s="1">
        <v>18.8</v>
      </c>
      <c r="G8" s="2">
        <v>45558</v>
      </c>
      <c r="H8" s="5">
        <f t="shared" ca="1" si="0"/>
        <v>671</v>
      </c>
    </row>
    <row r="9" spans="1:8" x14ac:dyDescent="0.2">
      <c r="A9" s="1" t="s">
        <v>19</v>
      </c>
      <c r="B9" s="1">
        <v>100008</v>
      </c>
      <c r="C9" s="1" t="s">
        <v>8</v>
      </c>
      <c r="D9" s="1" t="s">
        <v>11</v>
      </c>
      <c r="E9" s="1">
        <v>144</v>
      </c>
      <c r="F9" s="1">
        <v>3.5</v>
      </c>
      <c r="G9" s="2">
        <v>45698</v>
      </c>
      <c r="H9" s="5">
        <f t="shared" ca="1" si="0"/>
        <v>531</v>
      </c>
    </row>
    <row r="10" spans="1:8" x14ac:dyDescent="0.2">
      <c r="A10" s="1" t="s">
        <v>20</v>
      </c>
      <c r="B10" s="1">
        <v>100009</v>
      </c>
      <c r="C10" s="1" t="s">
        <v>18</v>
      </c>
      <c r="D10" s="1" t="s">
        <v>11</v>
      </c>
      <c r="E10" s="1">
        <v>116</v>
      </c>
      <c r="F10" s="1">
        <v>20.399999999999999</v>
      </c>
      <c r="G10" s="2">
        <v>45710</v>
      </c>
      <c r="H10" s="5">
        <f t="shared" ca="1" si="0"/>
        <v>519</v>
      </c>
    </row>
    <row r="11" spans="1:8" x14ac:dyDescent="0.2">
      <c r="A11" s="1" t="s">
        <v>21</v>
      </c>
      <c r="B11" s="1">
        <v>100010</v>
      </c>
      <c r="C11" s="1" t="s">
        <v>8</v>
      </c>
      <c r="D11" s="1" t="s">
        <v>11</v>
      </c>
      <c r="E11" s="1">
        <v>172</v>
      </c>
      <c r="F11" s="1">
        <v>3.2</v>
      </c>
      <c r="G11" s="2">
        <v>45339</v>
      </c>
      <c r="H11" s="5">
        <f t="shared" ca="1" si="0"/>
        <v>890</v>
      </c>
    </row>
    <row r="12" spans="1:8" x14ac:dyDescent="0.2">
      <c r="A12" s="1" t="s">
        <v>22</v>
      </c>
      <c r="B12" s="1">
        <v>100011</v>
      </c>
      <c r="C12" s="1" t="s">
        <v>18</v>
      </c>
      <c r="D12" s="1" t="s">
        <v>11</v>
      </c>
      <c r="E12" s="1">
        <v>58</v>
      </c>
      <c r="F12" s="1">
        <v>18</v>
      </c>
      <c r="G12" s="2">
        <v>45481</v>
      </c>
      <c r="H12" s="5">
        <f t="shared" ca="1" si="0"/>
        <v>748</v>
      </c>
    </row>
    <row r="13" spans="1:8" x14ac:dyDescent="0.2">
      <c r="A13" s="1" t="s">
        <v>23</v>
      </c>
      <c r="B13" s="1">
        <v>100012</v>
      </c>
      <c r="C13" s="1" t="s">
        <v>8</v>
      </c>
      <c r="D13" s="1" t="s">
        <v>11</v>
      </c>
      <c r="E13" s="1">
        <v>87</v>
      </c>
      <c r="F13" s="1">
        <v>7.6</v>
      </c>
      <c r="G13" s="2">
        <v>45385</v>
      </c>
      <c r="H13" s="5">
        <f t="shared" ca="1" si="0"/>
        <v>844</v>
      </c>
    </row>
    <row r="14" spans="1:8" x14ac:dyDescent="0.2">
      <c r="A14" s="1" t="s">
        <v>24</v>
      </c>
      <c r="B14" s="1">
        <v>100013</v>
      </c>
      <c r="C14" s="1" t="s">
        <v>18</v>
      </c>
      <c r="D14" s="1" t="s">
        <v>11</v>
      </c>
      <c r="E14" s="1">
        <v>75</v>
      </c>
      <c r="F14" s="1">
        <v>20.2</v>
      </c>
      <c r="G14" s="2">
        <v>45666</v>
      </c>
      <c r="H14" s="5">
        <f t="shared" ca="1" si="0"/>
        <v>563</v>
      </c>
    </row>
    <row r="15" spans="1:8" x14ac:dyDescent="0.2">
      <c r="A15" s="1" t="s">
        <v>25</v>
      </c>
      <c r="B15" s="1">
        <v>100014</v>
      </c>
      <c r="C15" s="1" t="s">
        <v>18</v>
      </c>
      <c r="D15" s="1" t="s">
        <v>11</v>
      </c>
      <c r="E15" s="1">
        <v>84</v>
      </c>
      <c r="F15" s="1">
        <v>15.7</v>
      </c>
      <c r="G15" s="2">
        <v>45546</v>
      </c>
      <c r="H15" s="5">
        <f t="shared" ca="1" si="0"/>
        <v>683</v>
      </c>
    </row>
    <row r="16" spans="1:8" x14ac:dyDescent="0.2">
      <c r="A16" s="1" t="s">
        <v>26</v>
      </c>
      <c r="B16" s="1">
        <v>100015</v>
      </c>
      <c r="C16" s="1" t="s">
        <v>8</v>
      </c>
      <c r="D16" s="1" t="s">
        <v>11</v>
      </c>
      <c r="E16" s="1">
        <v>135</v>
      </c>
      <c r="F16" s="1">
        <v>2.2000000000000002</v>
      </c>
      <c r="G16" s="2">
        <v>45337</v>
      </c>
      <c r="H16" s="5">
        <f t="shared" ca="1" si="0"/>
        <v>892</v>
      </c>
    </row>
    <row r="17" spans="1:8" x14ac:dyDescent="0.2">
      <c r="A17" s="1" t="s">
        <v>27</v>
      </c>
      <c r="B17" s="1">
        <v>100016</v>
      </c>
      <c r="C17" s="1" t="s">
        <v>8</v>
      </c>
      <c r="D17" s="1" t="s">
        <v>11</v>
      </c>
      <c r="E17" s="1">
        <v>140</v>
      </c>
      <c r="F17" s="1">
        <v>9.8000000000000007</v>
      </c>
      <c r="G17" s="2">
        <v>45822</v>
      </c>
      <c r="H17" s="5">
        <f t="shared" ca="1" si="0"/>
        <v>407</v>
      </c>
    </row>
    <row r="18" spans="1:8" x14ac:dyDescent="0.2">
      <c r="A18" s="1" t="s">
        <v>28</v>
      </c>
      <c r="B18" s="1">
        <v>100017</v>
      </c>
      <c r="C18" s="1" t="s">
        <v>18</v>
      </c>
      <c r="D18" s="1" t="s">
        <v>11</v>
      </c>
      <c r="E18" s="1">
        <v>48</v>
      </c>
      <c r="F18" s="1">
        <v>14.8</v>
      </c>
      <c r="G18" s="2">
        <v>45842</v>
      </c>
      <c r="H18" s="5">
        <f t="shared" ca="1" si="0"/>
        <v>387</v>
      </c>
    </row>
    <row r="19" spans="1:8" x14ac:dyDescent="0.2">
      <c r="A19" s="1" t="s">
        <v>29</v>
      </c>
      <c r="B19" s="1">
        <v>100018</v>
      </c>
      <c r="C19" s="1" t="s">
        <v>8</v>
      </c>
      <c r="D19" s="1" t="s">
        <v>11</v>
      </c>
      <c r="E19" s="1">
        <v>137</v>
      </c>
      <c r="F19" s="1">
        <v>11.8</v>
      </c>
      <c r="G19" s="2">
        <v>45561</v>
      </c>
      <c r="H19" s="5">
        <f t="shared" ca="1" si="0"/>
        <v>668</v>
      </c>
    </row>
    <row r="20" spans="1:8" x14ac:dyDescent="0.2">
      <c r="A20" s="1" t="s">
        <v>30</v>
      </c>
      <c r="B20" s="1">
        <v>100019</v>
      </c>
      <c r="C20" s="1" t="s">
        <v>8</v>
      </c>
      <c r="D20" s="1" t="s">
        <v>11</v>
      </c>
      <c r="E20" s="1">
        <v>137</v>
      </c>
      <c r="F20" s="1">
        <v>2.9</v>
      </c>
      <c r="G20" s="2">
        <v>45564</v>
      </c>
      <c r="H20" s="5">
        <f t="shared" ca="1" si="0"/>
        <v>665</v>
      </c>
    </row>
    <row r="21" spans="1:8" x14ac:dyDescent="0.2">
      <c r="A21" s="1" t="s">
        <v>31</v>
      </c>
      <c r="B21" s="1">
        <v>100020</v>
      </c>
      <c r="C21" s="1" t="s">
        <v>15</v>
      </c>
      <c r="D21" s="1" t="s">
        <v>9</v>
      </c>
      <c r="E21" s="1">
        <v>46</v>
      </c>
      <c r="F21" s="1">
        <v>29.4</v>
      </c>
      <c r="G21" s="2">
        <v>45432</v>
      </c>
      <c r="H21" s="5">
        <f t="shared" ca="1" si="0"/>
        <v>797</v>
      </c>
    </row>
    <row r="22" spans="1:8" x14ac:dyDescent="0.2">
      <c r="A22" s="1" t="s">
        <v>32</v>
      </c>
      <c r="B22" s="1">
        <v>100021</v>
      </c>
      <c r="C22" s="1" t="s">
        <v>8</v>
      </c>
      <c r="D22" s="1" t="s">
        <v>11</v>
      </c>
      <c r="E22" s="1">
        <v>171</v>
      </c>
      <c r="F22" s="1">
        <v>6.4</v>
      </c>
      <c r="G22" s="2">
        <v>45409</v>
      </c>
      <c r="H22" s="5">
        <f t="shared" ca="1" si="0"/>
        <v>820</v>
      </c>
    </row>
    <row r="23" spans="1:8" x14ac:dyDescent="0.2">
      <c r="A23" s="1" t="s">
        <v>33</v>
      </c>
      <c r="B23" s="1">
        <v>100022</v>
      </c>
      <c r="C23" s="1" t="s">
        <v>8</v>
      </c>
      <c r="D23" s="1" t="s">
        <v>11</v>
      </c>
      <c r="E23" s="1">
        <v>150</v>
      </c>
      <c r="F23" s="1">
        <v>5.9</v>
      </c>
      <c r="G23" s="2">
        <v>45843</v>
      </c>
      <c r="H23" s="5">
        <f t="shared" ca="1" si="0"/>
        <v>386</v>
      </c>
    </row>
    <row r="24" spans="1:8" x14ac:dyDescent="0.2">
      <c r="A24" s="1" t="s">
        <v>34</v>
      </c>
      <c r="B24" s="1">
        <v>100023</v>
      </c>
      <c r="C24" s="1" t="s">
        <v>8</v>
      </c>
      <c r="D24" s="1" t="s">
        <v>9</v>
      </c>
      <c r="E24" s="1">
        <v>171</v>
      </c>
      <c r="F24" s="1">
        <v>10.8</v>
      </c>
      <c r="G24" s="2">
        <v>45789</v>
      </c>
      <c r="H24" s="5">
        <f t="shared" ca="1" si="0"/>
        <v>440</v>
      </c>
    </row>
    <row r="25" spans="1:8" x14ac:dyDescent="0.2">
      <c r="A25" s="1" t="s">
        <v>35</v>
      </c>
      <c r="B25" s="1">
        <v>100024</v>
      </c>
      <c r="C25" s="1" t="s">
        <v>18</v>
      </c>
      <c r="D25" s="1" t="s">
        <v>11</v>
      </c>
      <c r="E25" s="1">
        <v>70</v>
      </c>
      <c r="F25" s="1">
        <v>15.3</v>
      </c>
      <c r="G25" s="2">
        <v>45769</v>
      </c>
      <c r="H25" s="5">
        <f t="shared" ca="1" si="0"/>
        <v>460</v>
      </c>
    </row>
    <row r="26" spans="1:8" x14ac:dyDescent="0.2">
      <c r="A26" s="1" t="s">
        <v>36</v>
      </c>
      <c r="B26" s="1">
        <v>100025</v>
      </c>
      <c r="C26" s="1" t="s">
        <v>8</v>
      </c>
      <c r="D26" s="1" t="s">
        <v>11</v>
      </c>
      <c r="E26" s="1">
        <v>179</v>
      </c>
      <c r="F26" s="1">
        <v>6.8</v>
      </c>
      <c r="G26" s="2">
        <v>45662</v>
      </c>
      <c r="H26" s="5">
        <f t="shared" ca="1" si="0"/>
        <v>567</v>
      </c>
    </row>
    <row r="27" spans="1:8" x14ac:dyDescent="0.2">
      <c r="A27" s="1" t="s">
        <v>37</v>
      </c>
      <c r="B27" s="1">
        <v>100026</v>
      </c>
      <c r="C27" s="1" t="s">
        <v>18</v>
      </c>
      <c r="D27" s="1" t="s">
        <v>11</v>
      </c>
      <c r="E27" s="1">
        <v>67</v>
      </c>
      <c r="F27" s="1">
        <v>23.4</v>
      </c>
      <c r="G27" s="2">
        <v>45693</v>
      </c>
      <c r="H27" s="5">
        <f t="shared" ca="1" si="0"/>
        <v>536</v>
      </c>
    </row>
    <row r="28" spans="1:8" x14ac:dyDescent="0.2">
      <c r="A28" s="1" t="s">
        <v>38</v>
      </c>
      <c r="B28" s="1">
        <v>100027</v>
      </c>
      <c r="C28" s="1" t="s">
        <v>15</v>
      </c>
      <c r="D28" s="1" t="s">
        <v>9</v>
      </c>
      <c r="E28" s="1">
        <v>44</v>
      </c>
      <c r="F28" s="1">
        <v>38.4</v>
      </c>
      <c r="G28" s="2">
        <v>45850</v>
      </c>
      <c r="H28" s="5">
        <f t="shared" ca="1" si="0"/>
        <v>379</v>
      </c>
    </row>
    <row r="29" spans="1:8" x14ac:dyDescent="0.2">
      <c r="A29" s="1" t="s">
        <v>39</v>
      </c>
      <c r="B29" s="1">
        <v>100028</v>
      </c>
      <c r="C29" s="1" t="s">
        <v>8</v>
      </c>
      <c r="D29" s="1" t="s">
        <v>11</v>
      </c>
      <c r="E29" s="1">
        <v>167</v>
      </c>
      <c r="F29" s="1">
        <v>3.3</v>
      </c>
      <c r="G29" s="2">
        <v>45724</v>
      </c>
      <c r="H29" s="5">
        <f t="shared" ca="1" si="0"/>
        <v>505</v>
      </c>
    </row>
    <row r="30" spans="1:8" x14ac:dyDescent="0.2">
      <c r="A30" s="1" t="s">
        <v>40</v>
      </c>
      <c r="B30" s="1">
        <v>100029</v>
      </c>
      <c r="C30" s="1" t="s">
        <v>8</v>
      </c>
      <c r="D30" s="1" t="s">
        <v>11</v>
      </c>
      <c r="E30" s="1">
        <v>79</v>
      </c>
      <c r="F30" s="1">
        <v>6.3</v>
      </c>
      <c r="G30" s="2">
        <v>45459</v>
      </c>
      <c r="H30" s="5">
        <f t="shared" ca="1" si="0"/>
        <v>770</v>
      </c>
    </row>
    <row r="31" spans="1:8" x14ac:dyDescent="0.2">
      <c r="A31" s="1" t="s">
        <v>41</v>
      </c>
      <c r="B31" s="1">
        <v>100030</v>
      </c>
      <c r="C31" s="1" t="s">
        <v>18</v>
      </c>
      <c r="D31" s="1" t="s">
        <v>11</v>
      </c>
      <c r="E31" s="1">
        <v>49</v>
      </c>
      <c r="F31" s="1">
        <v>22.4</v>
      </c>
      <c r="G31" s="2">
        <v>45317</v>
      </c>
      <c r="H31" s="5">
        <f t="shared" ca="1" si="0"/>
        <v>912</v>
      </c>
    </row>
    <row r="32" spans="1:8" x14ac:dyDescent="0.2">
      <c r="A32" s="1" t="s">
        <v>42</v>
      </c>
      <c r="B32" s="1">
        <v>100031</v>
      </c>
      <c r="C32" s="1" t="s">
        <v>8</v>
      </c>
      <c r="D32" s="1" t="s">
        <v>11</v>
      </c>
      <c r="E32" s="1">
        <v>138</v>
      </c>
      <c r="F32" s="1">
        <v>10.9</v>
      </c>
      <c r="G32" s="2">
        <v>45690</v>
      </c>
      <c r="H32" s="5">
        <f t="shared" ca="1" si="0"/>
        <v>539</v>
      </c>
    </row>
    <row r="33" spans="1:8" x14ac:dyDescent="0.2">
      <c r="A33" s="1" t="s">
        <v>43</v>
      </c>
      <c r="B33" s="1">
        <v>100032</v>
      </c>
      <c r="C33" s="1" t="s">
        <v>8</v>
      </c>
      <c r="D33" s="1" t="s">
        <v>11</v>
      </c>
      <c r="E33" s="1">
        <v>92</v>
      </c>
      <c r="F33" s="1">
        <v>2.2999999999999998</v>
      </c>
      <c r="G33" s="2">
        <v>45739</v>
      </c>
      <c r="H33" s="5">
        <f t="shared" ca="1" si="0"/>
        <v>490</v>
      </c>
    </row>
    <row r="34" spans="1:8" x14ac:dyDescent="0.2">
      <c r="A34" s="1" t="s">
        <v>44</v>
      </c>
      <c r="B34" s="1">
        <v>100033</v>
      </c>
      <c r="C34" s="1" t="s">
        <v>8</v>
      </c>
      <c r="D34" s="1" t="s">
        <v>11</v>
      </c>
      <c r="E34" s="1">
        <v>73</v>
      </c>
      <c r="F34" s="1">
        <v>10.199999999999999</v>
      </c>
      <c r="G34" s="2">
        <v>45305</v>
      </c>
      <c r="H34" s="5">
        <f t="shared" ca="1" si="0"/>
        <v>924</v>
      </c>
    </row>
    <row r="35" spans="1:8" x14ac:dyDescent="0.2">
      <c r="A35" s="1" t="s">
        <v>45</v>
      </c>
      <c r="B35" s="1">
        <v>100034</v>
      </c>
      <c r="C35" s="1" t="s">
        <v>8</v>
      </c>
      <c r="D35" s="1" t="s">
        <v>9</v>
      </c>
      <c r="E35" s="1">
        <v>141</v>
      </c>
      <c r="F35" s="1">
        <v>5.3</v>
      </c>
      <c r="G35" s="2">
        <v>45395</v>
      </c>
      <c r="H35" s="5">
        <f t="shared" ca="1" si="0"/>
        <v>834</v>
      </c>
    </row>
    <row r="36" spans="1:8" x14ac:dyDescent="0.2">
      <c r="A36" s="1" t="s">
        <v>46</v>
      </c>
      <c r="B36" s="1">
        <v>100035</v>
      </c>
      <c r="C36" s="1" t="s">
        <v>8</v>
      </c>
      <c r="D36" s="1" t="s">
        <v>11</v>
      </c>
      <c r="E36" s="1">
        <v>122</v>
      </c>
      <c r="F36" s="1">
        <v>2.5</v>
      </c>
      <c r="G36" s="2">
        <v>45436</v>
      </c>
      <c r="H36" s="5">
        <f t="shared" ca="1" si="0"/>
        <v>793</v>
      </c>
    </row>
    <row r="37" spans="1:8" x14ac:dyDescent="0.2">
      <c r="A37" s="1" t="s">
        <v>47</v>
      </c>
      <c r="B37" s="1">
        <v>100036</v>
      </c>
      <c r="C37" s="1" t="s">
        <v>8</v>
      </c>
      <c r="D37" s="1" t="s">
        <v>11</v>
      </c>
      <c r="E37" s="1">
        <v>84</v>
      </c>
      <c r="F37" s="1">
        <v>10.3</v>
      </c>
      <c r="G37" s="2">
        <v>45760</v>
      </c>
      <c r="H37" s="5">
        <f t="shared" ca="1" si="0"/>
        <v>469</v>
      </c>
    </row>
    <row r="38" spans="1:8" x14ac:dyDescent="0.2">
      <c r="A38" s="1" t="s">
        <v>48</v>
      </c>
      <c r="B38" s="1">
        <v>100037</v>
      </c>
      <c r="C38" s="1" t="s">
        <v>8</v>
      </c>
      <c r="D38" s="1" t="s">
        <v>11</v>
      </c>
      <c r="E38" s="1">
        <v>71</v>
      </c>
      <c r="F38" s="1">
        <v>11.9</v>
      </c>
      <c r="G38" s="2">
        <v>45696</v>
      </c>
      <c r="H38" s="5">
        <f t="shared" ca="1" si="0"/>
        <v>533</v>
      </c>
    </row>
    <row r="39" spans="1:8" x14ac:dyDescent="0.2">
      <c r="A39" s="1" t="s">
        <v>49</v>
      </c>
      <c r="B39" s="1">
        <v>100038</v>
      </c>
      <c r="C39" s="1" t="s">
        <v>15</v>
      </c>
      <c r="D39" s="1" t="s">
        <v>11</v>
      </c>
      <c r="E39" s="1">
        <v>39</v>
      </c>
      <c r="F39" s="1">
        <v>26</v>
      </c>
      <c r="G39" s="2">
        <v>45489</v>
      </c>
      <c r="H39" s="5">
        <f t="shared" ca="1" si="0"/>
        <v>740</v>
      </c>
    </row>
    <row r="40" spans="1:8" x14ac:dyDescent="0.2">
      <c r="A40" s="1" t="s">
        <v>50</v>
      </c>
      <c r="B40" s="1">
        <v>100039</v>
      </c>
      <c r="C40" s="1" t="s">
        <v>8</v>
      </c>
      <c r="D40" s="1" t="s">
        <v>11</v>
      </c>
      <c r="E40" s="1">
        <v>140</v>
      </c>
      <c r="F40" s="1">
        <v>6.5</v>
      </c>
      <c r="G40" s="2">
        <v>45510</v>
      </c>
      <c r="H40" s="5">
        <f t="shared" ca="1" si="0"/>
        <v>719</v>
      </c>
    </row>
    <row r="41" spans="1:8" x14ac:dyDescent="0.2">
      <c r="A41" s="1" t="s">
        <v>51</v>
      </c>
      <c r="B41" s="1">
        <v>100040</v>
      </c>
      <c r="C41" s="1" t="s">
        <v>8</v>
      </c>
      <c r="D41" s="1" t="s">
        <v>9</v>
      </c>
      <c r="E41" s="1">
        <v>176</v>
      </c>
      <c r="F41" s="1">
        <v>10.3</v>
      </c>
      <c r="G41" s="2">
        <v>45800</v>
      </c>
      <c r="H41" s="5">
        <f t="shared" ca="1" si="0"/>
        <v>429</v>
      </c>
    </row>
    <row r="42" spans="1:8" x14ac:dyDescent="0.2">
      <c r="A42" s="1" t="s">
        <v>52</v>
      </c>
      <c r="B42" s="1">
        <v>100041</v>
      </c>
      <c r="C42" s="1" t="s">
        <v>18</v>
      </c>
      <c r="D42" s="1" t="s">
        <v>11</v>
      </c>
      <c r="E42" s="1">
        <v>120</v>
      </c>
      <c r="F42" s="1">
        <v>20.5</v>
      </c>
      <c r="G42" s="2">
        <v>45483</v>
      </c>
      <c r="H42" s="5">
        <f t="shared" ca="1" si="0"/>
        <v>746</v>
      </c>
    </row>
    <row r="43" spans="1:8" x14ac:dyDescent="0.2">
      <c r="A43" s="1" t="s">
        <v>53</v>
      </c>
      <c r="B43" s="1">
        <v>100042</v>
      </c>
      <c r="C43" s="1" t="s">
        <v>8</v>
      </c>
      <c r="D43" s="1" t="s">
        <v>11</v>
      </c>
      <c r="E43" s="1">
        <v>119</v>
      </c>
      <c r="F43" s="1">
        <v>12</v>
      </c>
      <c r="G43" s="2">
        <v>45339</v>
      </c>
      <c r="H43" s="5">
        <f t="shared" ca="1" si="0"/>
        <v>890</v>
      </c>
    </row>
    <row r="44" spans="1:8" x14ac:dyDescent="0.2">
      <c r="A44" s="1" t="s">
        <v>54</v>
      </c>
      <c r="B44" s="1">
        <v>100043</v>
      </c>
      <c r="C44" s="1" t="s">
        <v>18</v>
      </c>
      <c r="D44" s="1" t="s">
        <v>11</v>
      </c>
      <c r="E44" s="1">
        <v>72</v>
      </c>
      <c r="F44" s="1">
        <v>19</v>
      </c>
      <c r="G44" s="2">
        <v>45330</v>
      </c>
      <c r="H44" s="5">
        <f t="shared" ca="1" si="0"/>
        <v>899</v>
      </c>
    </row>
    <row r="45" spans="1:8" x14ac:dyDescent="0.2">
      <c r="A45" s="1" t="s">
        <v>55</v>
      </c>
      <c r="B45" s="1">
        <v>100044</v>
      </c>
      <c r="C45" s="1" t="s">
        <v>8</v>
      </c>
      <c r="D45" s="1" t="s">
        <v>11</v>
      </c>
      <c r="E45" s="1">
        <v>84</v>
      </c>
      <c r="F45" s="1">
        <v>6.4</v>
      </c>
      <c r="G45" s="2">
        <v>45629</v>
      </c>
      <c r="H45" s="5">
        <f t="shared" ca="1" si="0"/>
        <v>600</v>
      </c>
    </row>
    <row r="46" spans="1:8" x14ac:dyDescent="0.2">
      <c r="A46" s="1" t="s">
        <v>56</v>
      </c>
      <c r="B46" s="1">
        <v>100045</v>
      </c>
      <c r="C46" s="1" t="s">
        <v>15</v>
      </c>
      <c r="D46" s="1" t="s">
        <v>11</v>
      </c>
      <c r="E46" s="1">
        <v>79</v>
      </c>
      <c r="F46" s="1">
        <v>32.9</v>
      </c>
      <c r="G46" s="2">
        <v>45658</v>
      </c>
      <c r="H46" s="5">
        <f t="shared" ca="1" si="0"/>
        <v>571</v>
      </c>
    </row>
    <row r="47" spans="1:8" x14ac:dyDescent="0.2">
      <c r="A47" s="1" t="s">
        <v>57</v>
      </c>
      <c r="B47" s="1">
        <v>100046</v>
      </c>
      <c r="C47" s="1" t="s">
        <v>8</v>
      </c>
      <c r="D47" s="1" t="s">
        <v>11</v>
      </c>
      <c r="E47" s="1">
        <v>146</v>
      </c>
      <c r="F47" s="1">
        <v>10.8</v>
      </c>
      <c r="G47" s="2">
        <v>45295</v>
      </c>
      <c r="H47" s="5">
        <f t="shared" ca="1" si="0"/>
        <v>934</v>
      </c>
    </row>
    <row r="48" spans="1:8" x14ac:dyDescent="0.2">
      <c r="A48" s="1" t="s">
        <v>58</v>
      </c>
      <c r="B48" s="1">
        <v>100047</v>
      </c>
      <c r="C48" s="1" t="s">
        <v>8</v>
      </c>
      <c r="D48" s="1" t="s">
        <v>9</v>
      </c>
      <c r="E48" s="1">
        <v>127</v>
      </c>
      <c r="F48" s="1">
        <v>10.4</v>
      </c>
      <c r="G48" s="2">
        <v>45637</v>
      </c>
      <c r="H48" s="5">
        <f t="shared" ca="1" si="0"/>
        <v>592</v>
      </c>
    </row>
    <row r="49" spans="1:8" x14ac:dyDescent="0.2">
      <c r="A49" s="1" t="s">
        <v>59</v>
      </c>
      <c r="B49" s="1">
        <v>100048</v>
      </c>
      <c r="C49" s="1" t="s">
        <v>18</v>
      </c>
      <c r="D49" s="1" t="s">
        <v>11</v>
      </c>
      <c r="E49" s="1">
        <v>78</v>
      </c>
      <c r="F49" s="1">
        <v>15.8</v>
      </c>
      <c r="G49" s="2">
        <v>45531</v>
      </c>
      <c r="H49" s="5">
        <f t="shared" ca="1" si="0"/>
        <v>698</v>
      </c>
    </row>
    <row r="50" spans="1:8" x14ac:dyDescent="0.2">
      <c r="A50" s="1" t="s">
        <v>60</v>
      </c>
      <c r="B50" s="1">
        <v>100049</v>
      </c>
      <c r="C50" s="1" t="s">
        <v>18</v>
      </c>
      <c r="D50" s="1" t="s">
        <v>11</v>
      </c>
      <c r="E50" s="1">
        <v>54</v>
      </c>
      <c r="F50" s="1">
        <v>21.2</v>
      </c>
      <c r="G50" s="2">
        <v>45664</v>
      </c>
      <c r="H50" s="5">
        <f t="shared" ca="1" si="0"/>
        <v>565</v>
      </c>
    </row>
    <row r="51" spans="1:8" x14ac:dyDescent="0.2">
      <c r="A51" s="1" t="s">
        <v>61</v>
      </c>
      <c r="B51" s="1">
        <v>100050</v>
      </c>
      <c r="C51" s="1" t="s">
        <v>18</v>
      </c>
      <c r="D51" s="1" t="s">
        <v>11</v>
      </c>
      <c r="E51" s="1">
        <v>61</v>
      </c>
      <c r="F51" s="1">
        <v>24.1</v>
      </c>
      <c r="G51" s="2">
        <v>45485</v>
      </c>
      <c r="H51" s="5">
        <f t="shared" ca="1" si="0"/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fmcsa_carrier_compliance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Bhalilkar</cp:lastModifiedBy>
  <dcterms:modified xsi:type="dcterms:W3CDTF">2026-07-26T13:57:26Z</dcterms:modified>
</cp:coreProperties>
</file>